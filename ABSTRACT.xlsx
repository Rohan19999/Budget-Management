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c4fd7b57abd141/Documents/"/>
    </mc:Choice>
  </mc:AlternateContent>
  <xr:revisionPtr revIDLastSave="6" documentId="8_{D68149CF-F028-43D4-AF6F-CC9B8AAC6E57}" xr6:coauthVersionLast="47" xr6:coauthVersionMax="47" xr10:uidLastSave="{48CE807B-723E-4EE0-9EF3-2EC32DD058DC}"/>
  <bookViews>
    <workbookView xWindow="-108" yWindow="-108" windowWidth="23256" windowHeight="12456" xr2:uid="{97A18D33-4B6B-4605-BFB5-E6EF4E6D2E8F}"/>
  </bookViews>
  <sheets>
    <sheet name="Sheet1" sheetId="1" r:id="rId1"/>
  </sheets>
  <definedNames>
    <definedName name="_xlnm.Print_Area" localSheetId="0">Sheet1!$A$1:$J$34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" l="1"/>
  <c r="I33" i="1"/>
  <c r="H33" i="1"/>
  <c r="F33" i="1"/>
  <c r="D33" i="1"/>
  <c r="I10" i="1" l="1"/>
  <c r="I9" i="1"/>
  <c r="I5" i="1"/>
</calcChain>
</file>

<file path=xl/sharedStrings.xml><?xml version="1.0" encoding="utf-8"?>
<sst xmlns="http://schemas.openxmlformats.org/spreadsheetml/2006/main" count="44" uniqueCount="42">
  <si>
    <t>PROPOSED BUDGET FOR THE MONTH OF APRIL 2026</t>
  </si>
  <si>
    <t>OPENING BALANCE IN CC &amp; BANK ACCOUNT AS OF 01/04/26</t>
  </si>
  <si>
    <t>SL. NO</t>
  </si>
  <si>
    <t>ESTIMATED RECEIPT DURING THE MONTH</t>
  </si>
  <si>
    <t>TOTAL FUND AVAILABLE AFTER ABOVE COLLECTION</t>
  </si>
  <si>
    <t>PROPOSED BUDGET</t>
  </si>
  <si>
    <t>PARTICULARS</t>
  </si>
  <si>
    <t>EXISTING LIABILITY</t>
  </si>
  <si>
    <t>ESTIMATED LIABILITY</t>
  </si>
  <si>
    <t>TOTAL ESTIMATED LIABILITY</t>
  </si>
  <si>
    <t>BALANCE LIABILITY</t>
  </si>
  <si>
    <t>ACTUAL PAYMENT</t>
  </si>
  <si>
    <t>BALANCE</t>
  </si>
  <si>
    <t>ACTUAL RECEIPT</t>
  </si>
  <si>
    <t>TOTAL RECEIPTS</t>
  </si>
  <si>
    <t>COLLECTION FROM CLIENTS</t>
  </si>
  <si>
    <t>EMD &amp; SD REFUND</t>
  </si>
  <si>
    <t>LOAN FROM DIRECTORS</t>
  </si>
  <si>
    <t>OTHER RECEIPTS</t>
  </si>
  <si>
    <t>TOTAL PAYMENTS</t>
  </si>
  <si>
    <t>CLOSING BALANCE</t>
  </si>
  <si>
    <t>STATUTORY LIABILITIES</t>
  </si>
  <si>
    <t>EMPLOYEE SALARY</t>
  </si>
  <si>
    <t>CONSULTANTS REMUNERATION</t>
  </si>
  <si>
    <t>EMPLOYEE F&amp;F SETTLEMENT</t>
  </si>
  <si>
    <t>STAFF WELFARE EXPENSES</t>
  </si>
  <si>
    <t>TICKETS &amp; HOTEL BOOKINGS</t>
  </si>
  <si>
    <t>STAFF LIABILITIES</t>
  </si>
  <si>
    <t>OFFICE MAINTENANCE COST</t>
  </si>
  <si>
    <t>REPAIR &amp; MAINTENANCE</t>
  </si>
  <si>
    <t>PRINTING &amp; STATIONERY</t>
  </si>
  <si>
    <t>VEHICLE HIRE CHARGES</t>
  </si>
  <si>
    <t>SURVEY EXPENSES</t>
  </si>
  <si>
    <t>CONSULTANCY CHARGES</t>
  </si>
  <si>
    <t>PROJECT SITE EXPENSES</t>
  </si>
  <si>
    <t>SITE PREPARATION AND CLEARING EXPENSES</t>
  </si>
  <si>
    <t>FINANCE COST</t>
  </si>
  <si>
    <t>PURCHASE OF ASSETS &amp; SOFTWARES</t>
  </si>
  <si>
    <t>EMD ,PBG &amp; TENDER COST</t>
  </si>
  <si>
    <t>STAFF ADVANCES</t>
  </si>
  <si>
    <t>OTHERS</t>
  </si>
  <si>
    <t>CONTINGENCIES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</si>
</sst>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DCCE-F78B-418E-ABA6-5AA66AAB3841}">
  <dimension ref="A1:L34"/>
  <sheetViews>
    <sheetView tabSelected="1" zoomScaleNormal="100" workbookViewId="0">
      <selection activeCell="N16" sqref="N16"/>
    </sheetView>
  </sheetViews>
  <sheetFormatPr defaultRowHeight="14.4" x14ac:dyDescent="0.3"/>
  <cols>
    <col min="2" max="2" width="13.44140625" customWidth="1"/>
    <col min="3" max="3" width="15.33203125" customWidth="1"/>
    <col min="7" max="7" width="12.44140625" customWidth="1"/>
    <col min="8" max="8" width="24.6640625" bestFit="1" customWidth="1"/>
    <col min="9" max="9" width="18" customWidth="1"/>
    <col min="10" max="10" width="16.88671875" bestFit="1" customWidth="1"/>
    <col min="11" max="11" width="18.6640625" customWidth="1"/>
    <col min="12" max="12" width="11.6640625" customWidth="1"/>
  </cols>
  <sheetData>
    <row r="1" spans="1:12" s="12" customFormat="1" ht="21" x14ac:dyDescent="0.4">
      <c r="A1" s="18" t="s">
        <v>0</v>
      </c>
      <c r="B1" s="19"/>
      <c r="C1" s="19"/>
      <c r="D1" s="19"/>
      <c r="E1" s="19"/>
      <c r="F1" s="19"/>
      <c r="G1" s="19"/>
      <c r="H1" s="20"/>
      <c r="I1" s="11"/>
      <c r="J1" s="11"/>
      <c r="K1" s="11"/>
      <c r="L1" s="11"/>
    </row>
    <row r="2" spans="1:12" x14ac:dyDescent="0.3">
      <c r="A2" s="34" t="s">
        <v>1</v>
      </c>
      <c r="B2" s="34"/>
      <c r="C2" s="34"/>
      <c r="D2" s="30">
        <v>-21544948</v>
      </c>
      <c r="E2" s="29"/>
      <c r="F2" s="31">
        <v>-21544948</v>
      </c>
      <c r="G2" s="25"/>
      <c r="H2" s="30">
        <v>5159024</v>
      </c>
      <c r="I2" s="30">
        <v>-16385924</v>
      </c>
      <c r="J2" s="3"/>
      <c r="K2" s="3"/>
      <c r="L2" s="3"/>
    </row>
    <row r="3" spans="1:12" x14ac:dyDescent="0.3">
      <c r="A3" s="34"/>
      <c r="B3" s="34"/>
      <c r="C3" s="34"/>
      <c r="D3" s="29"/>
      <c r="E3" s="29"/>
      <c r="F3" s="25"/>
      <c r="G3" s="25"/>
      <c r="H3" s="30"/>
      <c r="I3" s="30"/>
      <c r="J3" s="3"/>
      <c r="K3" s="3"/>
      <c r="L3" s="3"/>
    </row>
    <row r="4" spans="1:12" x14ac:dyDescent="0.3">
      <c r="A4" s="3" t="s">
        <v>2</v>
      </c>
      <c r="B4" s="34" t="s">
        <v>3</v>
      </c>
      <c r="C4" s="34"/>
      <c r="D4" s="34"/>
      <c r="E4" s="34"/>
      <c r="F4" s="34"/>
      <c r="G4" s="3"/>
      <c r="H4" s="3"/>
      <c r="I4" s="3"/>
      <c r="J4" s="3"/>
      <c r="K4" s="3" t="s">
        <v>13</v>
      </c>
      <c r="L4" s="3" t="s">
        <v>12</v>
      </c>
    </row>
    <row r="5" spans="1:12" x14ac:dyDescent="0.3">
      <c r="A5" s="4">
        <v>1</v>
      </c>
      <c r="B5" s="32" t="s">
        <v>15</v>
      </c>
      <c r="C5" s="32"/>
      <c r="D5" s="32"/>
      <c r="E5" s="32"/>
      <c r="F5" s="32"/>
      <c r="G5" s="5"/>
      <c r="H5" s="5"/>
      <c r="I5" s="5">
        <f>27000000</f>
        <v>27000000</v>
      </c>
      <c r="J5" s="5"/>
      <c r="K5" s="5"/>
      <c r="L5" s="5"/>
    </row>
    <row r="6" spans="1:12" x14ac:dyDescent="0.3">
      <c r="A6" s="4">
        <v>2</v>
      </c>
      <c r="B6" s="32" t="s">
        <v>16</v>
      </c>
      <c r="C6" s="32"/>
      <c r="D6" s="32"/>
      <c r="E6" s="32"/>
      <c r="F6" s="32"/>
      <c r="G6" s="5"/>
      <c r="H6" s="5"/>
      <c r="I6" s="5"/>
      <c r="J6" s="5"/>
      <c r="K6" s="5"/>
      <c r="L6" s="5"/>
    </row>
    <row r="7" spans="1:12" x14ac:dyDescent="0.3">
      <c r="A7" s="4">
        <v>3</v>
      </c>
      <c r="B7" s="32" t="s">
        <v>17</v>
      </c>
      <c r="C7" s="32"/>
      <c r="D7" s="32"/>
      <c r="E7" s="32"/>
      <c r="F7" s="32"/>
      <c r="G7" s="5"/>
      <c r="H7" s="5"/>
      <c r="I7" s="5"/>
      <c r="J7" s="5"/>
      <c r="K7" s="5"/>
      <c r="L7" s="5"/>
    </row>
    <row r="8" spans="1:12" x14ac:dyDescent="0.3">
      <c r="A8" s="4">
        <v>4</v>
      </c>
      <c r="B8" s="32" t="s">
        <v>18</v>
      </c>
      <c r="C8" s="32"/>
      <c r="D8" s="32"/>
      <c r="E8" s="32"/>
      <c r="F8" s="32"/>
      <c r="G8" s="5"/>
      <c r="H8" s="5"/>
      <c r="I8" s="5"/>
      <c r="J8" s="5"/>
      <c r="K8" s="5"/>
      <c r="L8" s="5"/>
    </row>
    <row r="9" spans="1:12" x14ac:dyDescent="0.3">
      <c r="A9" s="5"/>
      <c r="B9" s="33" t="s">
        <v>14</v>
      </c>
      <c r="C9" s="33"/>
      <c r="D9" s="33"/>
      <c r="E9" s="33"/>
      <c r="F9" s="33"/>
      <c r="G9" s="5"/>
      <c r="H9" s="5"/>
      <c r="I9" s="5">
        <f>I5</f>
        <v>27000000</v>
      </c>
      <c r="J9" s="5"/>
      <c r="K9" s="5"/>
      <c r="L9" s="5"/>
    </row>
    <row r="10" spans="1:12" x14ac:dyDescent="0.3">
      <c r="A10" s="3" t="s">
        <v>4</v>
      </c>
      <c r="B10" s="3"/>
      <c r="C10" s="3"/>
      <c r="D10" s="3"/>
      <c r="E10" s="3"/>
      <c r="F10" s="3"/>
      <c r="G10" s="3"/>
      <c r="H10" s="3"/>
      <c r="I10" s="6">
        <f>I2+I5</f>
        <v>10614076</v>
      </c>
      <c r="J10" s="3"/>
      <c r="K10" s="3"/>
      <c r="L10" s="3"/>
    </row>
    <row r="11" spans="1:12" s="1" customFormat="1" ht="17.399999999999999" customHeight="1" x14ac:dyDescent="0.3">
      <c r="A11" s="7" t="s">
        <v>2</v>
      </c>
      <c r="B11" s="25" t="s">
        <v>6</v>
      </c>
      <c r="C11" s="25"/>
      <c r="D11" s="29" t="s">
        <v>7</v>
      </c>
      <c r="E11" s="29"/>
      <c r="F11" s="29" t="s">
        <v>8</v>
      </c>
      <c r="G11" s="29"/>
      <c r="H11" s="7" t="s">
        <v>9</v>
      </c>
      <c r="I11" s="7" t="s">
        <v>5</v>
      </c>
      <c r="J11" s="7" t="s">
        <v>10</v>
      </c>
      <c r="K11" s="7" t="s">
        <v>11</v>
      </c>
      <c r="L11" s="7" t="s">
        <v>12</v>
      </c>
    </row>
    <row r="12" spans="1:12" x14ac:dyDescent="0.3">
      <c r="A12" s="8">
        <v>1</v>
      </c>
      <c r="B12" s="27" t="s">
        <v>21</v>
      </c>
      <c r="C12" s="27"/>
      <c r="D12" s="26">
        <v>3050000</v>
      </c>
      <c r="E12" s="27"/>
      <c r="F12" s="21">
        <v>25250000</v>
      </c>
      <c r="G12" s="14"/>
      <c r="H12" s="10">
        <v>28300000</v>
      </c>
      <c r="I12" s="10">
        <v>28300000</v>
      </c>
      <c r="J12" s="9"/>
      <c r="K12" s="9"/>
      <c r="L12" s="9"/>
    </row>
    <row r="13" spans="1:12" x14ac:dyDescent="0.3">
      <c r="A13" s="8">
        <v>2</v>
      </c>
      <c r="B13" s="27" t="s">
        <v>22</v>
      </c>
      <c r="C13" s="27"/>
      <c r="D13" s="27"/>
      <c r="E13" s="27"/>
      <c r="F13" s="13"/>
      <c r="G13" s="14"/>
      <c r="H13" s="9"/>
      <c r="I13" s="9"/>
      <c r="J13" s="9"/>
      <c r="K13" s="9"/>
      <c r="L13" s="9"/>
    </row>
    <row r="14" spans="1:12" x14ac:dyDescent="0.3">
      <c r="A14" s="8">
        <v>3</v>
      </c>
      <c r="B14" s="28" t="s">
        <v>23</v>
      </c>
      <c r="C14" s="28"/>
      <c r="D14" s="13"/>
      <c r="E14" s="14"/>
      <c r="F14" s="13"/>
      <c r="G14" s="14"/>
      <c r="H14" s="9"/>
      <c r="I14" s="9"/>
      <c r="J14" s="9"/>
      <c r="K14" s="9"/>
      <c r="L14" s="9"/>
    </row>
    <row r="15" spans="1:12" x14ac:dyDescent="0.3">
      <c r="A15" s="8">
        <v>4</v>
      </c>
      <c r="B15" s="28" t="s">
        <v>24</v>
      </c>
      <c r="C15" s="28"/>
      <c r="D15" s="13"/>
      <c r="E15" s="14"/>
      <c r="F15" s="13"/>
      <c r="G15" s="14"/>
      <c r="H15" s="9"/>
      <c r="I15" s="9"/>
      <c r="J15" s="9"/>
      <c r="K15" s="9"/>
      <c r="L15" s="9"/>
    </row>
    <row r="16" spans="1:12" x14ac:dyDescent="0.3">
      <c r="A16" s="8">
        <v>5</v>
      </c>
      <c r="B16" s="28" t="s">
        <v>25</v>
      </c>
      <c r="C16" s="28"/>
      <c r="D16" s="13"/>
      <c r="E16" s="14"/>
      <c r="F16" s="13"/>
      <c r="G16" s="14"/>
      <c r="H16" s="9"/>
      <c r="I16" s="9"/>
      <c r="J16" s="9"/>
      <c r="K16" s="9"/>
      <c r="L16" s="9"/>
    </row>
    <row r="17" spans="1:12" ht="15.6" x14ac:dyDescent="0.3">
      <c r="A17" s="8">
        <v>6</v>
      </c>
      <c r="B17" s="23" t="s">
        <v>26</v>
      </c>
      <c r="C17" s="23"/>
      <c r="D17" s="13"/>
      <c r="E17" s="14"/>
      <c r="F17" s="13"/>
      <c r="G17" s="14"/>
      <c r="H17" s="9"/>
      <c r="I17" s="9"/>
      <c r="J17" s="9"/>
      <c r="K17" s="9"/>
      <c r="L17" s="9"/>
    </row>
    <row r="18" spans="1:12" x14ac:dyDescent="0.3">
      <c r="A18" s="8">
        <v>7</v>
      </c>
      <c r="B18" s="22" t="s">
        <v>27</v>
      </c>
      <c r="C18" s="22"/>
      <c r="D18" s="13"/>
      <c r="E18" s="14"/>
      <c r="F18" s="13"/>
      <c r="G18" s="14"/>
      <c r="H18" s="9"/>
      <c r="I18" s="9"/>
      <c r="J18" s="9"/>
      <c r="K18" s="9"/>
      <c r="L18" s="9"/>
    </row>
    <row r="19" spans="1:12" x14ac:dyDescent="0.3">
      <c r="A19" s="8">
        <v>8</v>
      </c>
      <c r="B19" s="22" t="s">
        <v>28</v>
      </c>
      <c r="C19" s="22"/>
      <c r="D19" s="13"/>
      <c r="E19" s="14"/>
      <c r="F19" s="13"/>
      <c r="G19" s="14"/>
      <c r="H19" s="9"/>
      <c r="I19" s="9"/>
      <c r="J19" s="9"/>
      <c r="K19" s="9"/>
      <c r="L19" s="9"/>
    </row>
    <row r="20" spans="1:12" x14ac:dyDescent="0.3">
      <c r="A20" s="8">
        <v>9</v>
      </c>
      <c r="B20" s="22" t="s">
        <v>29</v>
      </c>
      <c r="C20" s="22"/>
      <c r="D20" s="13"/>
      <c r="E20" s="14"/>
      <c r="F20" s="13"/>
      <c r="G20" s="14"/>
      <c r="H20" s="9"/>
      <c r="I20" s="9"/>
      <c r="J20" s="9"/>
      <c r="K20" s="9"/>
      <c r="L20" s="9"/>
    </row>
    <row r="21" spans="1:12" x14ac:dyDescent="0.3">
      <c r="A21" s="8">
        <v>10</v>
      </c>
      <c r="B21" s="22" t="s">
        <v>30</v>
      </c>
      <c r="C21" s="22"/>
      <c r="D21" s="13"/>
      <c r="E21" s="14"/>
      <c r="F21" s="13"/>
      <c r="G21" s="14"/>
      <c r="H21" s="9"/>
      <c r="I21" s="9"/>
      <c r="J21" s="9"/>
      <c r="K21" s="9"/>
      <c r="L21" s="9"/>
    </row>
    <row r="22" spans="1:12" x14ac:dyDescent="0.3">
      <c r="A22" s="8">
        <v>11</v>
      </c>
      <c r="B22" s="22" t="s">
        <v>31</v>
      </c>
      <c r="C22" s="22"/>
      <c r="D22" s="13"/>
      <c r="E22" s="14"/>
      <c r="F22" s="13"/>
      <c r="G22" s="14"/>
      <c r="H22" s="9"/>
      <c r="I22" s="9"/>
      <c r="J22" s="9"/>
      <c r="K22" s="9"/>
      <c r="L22" s="9"/>
    </row>
    <row r="23" spans="1:12" x14ac:dyDescent="0.3">
      <c r="A23" s="8">
        <v>12</v>
      </c>
      <c r="B23" s="22" t="s">
        <v>32</v>
      </c>
      <c r="C23" s="22"/>
      <c r="D23" s="13"/>
      <c r="E23" s="14"/>
      <c r="F23" s="13"/>
      <c r="G23" s="14"/>
      <c r="H23" s="9"/>
      <c r="I23" s="9"/>
      <c r="J23" s="9"/>
      <c r="K23" s="9"/>
      <c r="L23" s="9"/>
    </row>
    <row r="24" spans="1:12" x14ac:dyDescent="0.3">
      <c r="A24" s="8">
        <v>13</v>
      </c>
      <c r="B24" s="22" t="s">
        <v>33</v>
      </c>
      <c r="C24" s="22"/>
      <c r="D24" s="13"/>
      <c r="E24" s="14"/>
      <c r="F24" s="13"/>
      <c r="G24" s="14"/>
      <c r="H24" s="9"/>
      <c r="I24" s="9"/>
      <c r="J24" s="9"/>
      <c r="K24" s="9"/>
      <c r="L24" s="9"/>
    </row>
    <row r="25" spans="1:12" ht="15.6" x14ac:dyDescent="0.3">
      <c r="A25" s="8">
        <v>14</v>
      </c>
      <c r="B25" s="23" t="s">
        <v>34</v>
      </c>
      <c r="C25" s="23"/>
      <c r="D25" s="13"/>
      <c r="E25" s="14"/>
      <c r="F25" s="13"/>
      <c r="G25" s="14"/>
      <c r="H25" s="9"/>
      <c r="I25" s="9"/>
      <c r="J25" s="9"/>
      <c r="K25" s="9"/>
      <c r="L25" s="9"/>
    </row>
    <row r="26" spans="1:12" ht="28.8" customHeight="1" x14ac:dyDescent="0.3">
      <c r="A26" s="8">
        <v>15</v>
      </c>
      <c r="B26" s="24" t="s">
        <v>35</v>
      </c>
      <c r="C26" s="24"/>
      <c r="D26" s="13"/>
      <c r="E26" s="14"/>
      <c r="F26" s="13"/>
      <c r="G26" s="14"/>
      <c r="H26" s="9"/>
      <c r="I26" s="9"/>
      <c r="J26" s="9"/>
      <c r="K26" s="9"/>
      <c r="L26" s="9"/>
    </row>
    <row r="27" spans="1:12" x14ac:dyDescent="0.3">
      <c r="A27" s="8">
        <v>16</v>
      </c>
      <c r="B27" s="22" t="s">
        <v>36</v>
      </c>
      <c r="C27" s="22"/>
      <c r="D27" s="13"/>
      <c r="E27" s="14"/>
      <c r="F27" s="13"/>
      <c r="G27" s="14"/>
      <c r="H27" s="9"/>
      <c r="I27" s="9"/>
      <c r="J27" s="9"/>
      <c r="K27" s="9"/>
      <c r="L27" s="9"/>
    </row>
    <row r="28" spans="1:12" ht="28.2" customHeight="1" x14ac:dyDescent="0.3">
      <c r="A28" s="8">
        <v>17</v>
      </c>
      <c r="B28" s="24" t="s">
        <v>37</v>
      </c>
      <c r="C28" s="24"/>
      <c r="D28" s="13"/>
      <c r="E28" s="14"/>
      <c r="F28" s="13"/>
      <c r="G28" s="14"/>
      <c r="H28" s="9"/>
      <c r="I28" s="9"/>
      <c r="J28" s="9"/>
      <c r="K28" s="9"/>
      <c r="L28" s="9"/>
    </row>
    <row r="29" spans="1:12" x14ac:dyDescent="0.3">
      <c r="A29" s="8">
        <v>18</v>
      </c>
      <c r="B29" s="22" t="s">
        <v>38</v>
      </c>
      <c r="C29" s="22"/>
      <c r="D29" s="13"/>
      <c r="E29" s="14"/>
      <c r="F29" s="13"/>
      <c r="G29" s="14"/>
      <c r="H29" s="9"/>
      <c r="I29" s="9"/>
      <c r="J29" s="9"/>
      <c r="K29" s="9"/>
      <c r="L29" s="9"/>
    </row>
    <row r="30" spans="1:12" x14ac:dyDescent="0.3">
      <c r="A30" s="8">
        <v>19</v>
      </c>
      <c r="B30" s="22" t="s">
        <v>39</v>
      </c>
      <c r="C30" s="22"/>
      <c r="D30" s="13"/>
      <c r="E30" s="14"/>
      <c r="F30" s="13"/>
      <c r="G30" s="14"/>
      <c r="H30" s="9"/>
      <c r="I30" s="9"/>
      <c r="J30" s="9"/>
      <c r="K30" s="9"/>
      <c r="L30" s="9"/>
    </row>
    <row r="31" spans="1:12" x14ac:dyDescent="0.3">
      <c r="A31" s="8">
        <v>20</v>
      </c>
      <c r="B31" s="22" t="s">
        <v>40</v>
      </c>
      <c r="C31" s="22"/>
      <c r="D31" s="13"/>
      <c r="E31" s="14"/>
      <c r="F31" s="13"/>
      <c r="G31" s="14"/>
      <c r="H31" s="9"/>
      <c r="I31" s="9"/>
      <c r="J31" s="9"/>
      <c r="K31" s="9"/>
      <c r="L31" s="9"/>
    </row>
    <row r="32" spans="1:12" x14ac:dyDescent="0.3">
      <c r="A32" s="8">
        <v>21</v>
      </c>
      <c r="B32" s="22" t="s">
        <v>41</v>
      </c>
      <c r="C32" s="22"/>
      <c r="D32" s="13"/>
      <c r="E32" s="14"/>
      <c r="F32" s="13"/>
      <c r="G32" s="14"/>
      <c r="H32" s="9"/>
      <c r="I32" s="9"/>
      <c r="J32" s="9"/>
      <c r="K32" s="9"/>
      <c r="L32" s="9"/>
    </row>
    <row r="33" spans="1:12" s="2" customFormat="1" x14ac:dyDescent="0.3">
      <c r="A33" s="3"/>
      <c r="B33" s="25" t="s">
        <v>19</v>
      </c>
      <c r="C33" s="25"/>
      <c r="D33" s="15">
        <f>SUM(D12:E32)</f>
        <v>3050000</v>
      </c>
      <c r="E33" s="16"/>
      <c r="F33" s="15">
        <f>SUM(F12:G32)</f>
        <v>25250000</v>
      </c>
      <c r="G33" s="16"/>
      <c r="H33" s="6">
        <f>SUM(H12:H32)</f>
        <v>28300000</v>
      </c>
      <c r="I33" s="6">
        <f>SUM(I12:I32)</f>
        <v>28300000</v>
      </c>
      <c r="J33" s="3"/>
      <c r="K33" s="3"/>
      <c r="L33" s="3"/>
    </row>
    <row r="34" spans="1:12" s="2" customFormat="1" x14ac:dyDescent="0.3">
      <c r="A34" s="3"/>
      <c r="B34" s="25" t="s">
        <v>20</v>
      </c>
      <c r="C34" s="25"/>
      <c r="D34" s="17"/>
      <c r="E34" s="16"/>
      <c r="F34" s="17"/>
      <c r="G34" s="16"/>
      <c r="H34" s="3"/>
      <c r="I34" s="6">
        <f>I10-I33</f>
        <v>-17685924</v>
      </c>
      <c r="J34" s="3"/>
      <c r="K34" s="3"/>
      <c r="L34" s="3"/>
    </row>
  </sheetData>
  <mergeCells count="84">
    <mergeCell ref="D11:E11"/>
    <mergeCell ref="F11:G11"/>
    <mergeCell ref="I2:I3"/>
    <mergeCell ref="H2:H3"/>
    <mergeCell ref="F2:G3"/>
    <mergeCell ref="B5:F5"/>
    <mergeCell ref="B6:F6"/>
    <mergeCell ref="B7:F7"/>
    <mergeCell ref="B8:F8"/>
    <mergeCell ref="B9:F9"/>
    <mergeCell ref="A2:C3"/>
    <mergeCell ref="D2:E3"/>
    <mergeCell ref="B4:F4"/>
    <mergeCell ref="B11:C11"/>
    <mergeCell ref="B12:C12"/>
    <mergeCell ref="B13:C13"/>
    <mergeCell ref="B14:C14"/>
    <mergeCell ref="B15:C15"/>
    <mergeCell ref="B22:C22"/>
    <mergeCell ref="B33:C33"/>
    <mergeCell ref="B34:C34"/>
    <mergeCell ref="D12:E12"/>
    <mergeCell ref="D13:E13"/>
    <mergeCell ref="B16:C16"/>
    <mergeCell ref="B17:C17"/>
    <mergeCell ref="B18:C18"/>
    <mergeCell ref="B19:C19"/>
    <mergeCell ref="B20:C20"/>
    <mergeCell ref="B21:C21"/>
    <mergeCell ref="B29:C29"/>
    <mergeCell ref="B30:C30"/>
    <mergeCell ref="B31:C31"/>
    <mergeCell ref="B32:C32"/>
    <mergeCell ref="D14:E14"/>
    <mergeCell ref="D15:E15"/>
    <mergeCell ref="D16:E16"/>
    <mergeCell ref="D17:E17"/>
    <mergeCell ref="D18:E18"/>
    <mergeCell ref="D19:E19"/>
    <mergeCell ref="B23:C23"/>
    <mergeCell ref="B24:C24"/>
    <mergeCell ref="B25:C25"/>
    <mergeCell ref="B26:C26"/>
    <mergeCell ref="B27:C27"/>
    <mergeCell ref="B28:C28"/>
    <mergeCell ref="D31:E31"/>
    <mergeCell ref="D20:E20"/>
    <mergeCell ref="D21:E21"/>
    <mergeCell ref="D22:E22"/>
    <mergeCell ref="D23:E23"/>
    <mergeCell ref="D24:E24"/>
    <mergeCell ref="D25:E25"/>
    <mergeCell ref="F24:G24"/>
    <mergeCell ref="D32:E32"/>
    <mergeCell ref="D33:E33"/>
    <mergeCell ref="D34:E34"/>
    <mergeCell ref="F12:G12"/>
    <mergeCell ref="F13:G13"/>
    <mergeCell ref="F14:G14"/>
    <mergeCell ref="F15:G15"/>
    <mergeCell ref="F16:G16"/>
    <mergeCell ref="F17:G17"/>
    <mergeCell ref="F18:G18"/>
    <mergeCell ref="D26:E26"/>
    <mergeCell ref="D27:E27"/>
    <mergeCell ref="D28:E28"/>
    <mergeCell ref="D29:E29"/>
    <mergeCell ref="D30:E30"/>
    <mergeCell ref="F31:G31"/>
    <mergeCell ref="F32:G32"/>
    <mergeCell ref="F33:G33"/>
    <mergeCell ref="F34:G34"/>
    <mergeCell ref="A1:H1"/>
    <mergeCell ref="F25:G25"/>
    <mergeCell ref="F26:G26"/>
    <mergeCell ref="F27:G27"/>
    <mergeCell ref="F28:G28"/>
    <mergeCell ref="F29:G29"/>
    <mergeCell ref="F30:G30"/>
    <mergeCell ref="F19:G19"/>
    <mergeCell ref="F20:G20"/>
    <mergeCell ref="F21:G21"/>
    <mergeCell ref="F22:G22"/>
    <mergeCell ref="F23:G23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Swain</dc:creator>
  <cp:lastModifiedBy>Rohan Swain</cp:lastModifiedBy>
  <cp:lastPrinted>2026-06-10T08:54:13Z</cp:lastPrinted>
  <dcterms:created xsi:type="dcterms:W3CDTF">2026-06-10T07:31:52Z</dcterms:created>
  <dcterms:modified xsi:type="dcterms:W3CDTF">2026-06-10T08:56:30Z</dcterms:modified>
</cp:coreProperties>
</file>